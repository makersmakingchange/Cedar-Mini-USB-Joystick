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neilsquiresoc.sharepoint.com/sites/MMC-RD/Shared Documents/RD 25-04 OpenAT Resources and Refresh/Cedar-Mini-USB-Joystick/Documentation/Working_Documents/"/>
    </mc:Choice>
  </mc:AlternateContent>
  <xr:revisionPtr revIDLastSave="54" documentId="8_{D1C33C2A-2E2A-4A31-89E9-473C2285FBA6}" xr6:coauthVersionLast="47" xr6:coauthVersionMax="47" xr10:uidLastSave="{891FAE2E-3AA7-4501-A1A1-9D44030AD7D5}"/>
  <bookViews>
    <workbookView xWindow="28680" yWindow="2670" windowWidth="29040" windowHeight="15720" xr2:uid="{00000000-000D-0000-FFFF-FFFF00000000}"/>
  </bookViews>
  <sheets>
    <sheet name="BOM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2" l="1"/>
  <c r="K31" i="2"/>
  <c r="L31" i="2" s="1"/>
  <c r="L9" i="2"/>
  <c r="L45" i="2"/>
  <c r="L46" i="2"/>
  <c r="L47" i="2"/>
  <c r="L48" i="2"/>
  <c r="L49" i="2"/>
  <c r="L8" i="2"/>
  <c r="K49" i="2"/>
  <c r="K46" i="2"/>
  <c r="K47" i="2"/>
  <c r="K48" i="2"/>
  <c r="K45" i="2"/>
  <c r="L18" i="2"/>
  <c r="L17" i="2"/>
  <c r="L16" i="2"/>
  <c r="L15" i="2"/>
  <c r="L14" i="2"/>
  <c r="L10" i="2"/>
  <c r="L11" i="2"/>
  <c r="L12" i="2"/>
  <c r="L13" i="2"/>
  <c r="L19" i="2"/>
  <c r="L20" i="2"/>
  <c r="K9" i="2"/>
  <c r="K10" i="2"/>
  <c r="K11" i="2"/>
  <c r="K12" i="2"/>
  <c r="K13" i="2"/>
  <c r="K14" i="2"/>
  <c r="K15" i="2"/>
  <c r="K16" i="2"/>
  <c r="K17" i="2"/>
  <c r="K18" i="2"/>
  <c r="K19" i="2"/>
  <c r="K20" i="2"/>
  <c r="K8" i="2"/>
  <c r="K21" i="2"/>
  <c r="L22" i="2"/>
  <c r="K22" i="2"/>
  <c r="K23" i="2"/>
  <c r="L23" i="2"/>
  <c r="L21" i="2"/>
  <c r="I27" i="2"/>
  <c r="K27" i="2"/>
  <c r="I28" i="2"/>
  <c r="K28" i="2"/>
  <c r="L28" i="2" s="1"/>
  <c r="I29" i="2"/>
  <c r="K29" i="2"/>
  <c r="L29" i="2" s="1"/>
  <c r="I30" i="2"/>
  <c r="K30" i="2"/>
  <c r="L30" i="2" s="1"/>
  <c r="I5" i="2"/>
  <c r="L6" i="2" l="1"/>
  <c r="K6" i="2"/>
  <c r="K25" i="2"/>
  <c r="L27" i="2"/>
  <c r="K32" i="2"/>
  <c r="L32" i="2"/>
  <c r="K5" i="2" l="1"/>
  <c r="L25" i="2"/>
  <c r="L5" i="2" s="1"/>
  <c r="I25" i="2"/>
</calcChain>
</file>

<file path=xl/sharedStrings.xml><?xml version="1.0" encoding="utf-8"?>
<sst xmlns="http://schemas.openxmlformats.org/spreadsheetml/2006/main" count="193" uniqueCount="111">
  <si>
    <t>Total filament (g)</t>
  </si>
  <si>
    <t>Link</t>
  </si>
  <si>
    <t>Part</t>
  </si>
  <si>
    <t>Description</t>
  </si>
  <si>
    <t>Commercial Parts</t>
  </si>
  <si>
    <t>ID</t>
  </si>
  <si>
    <t>Last Updated:</t>
  </si>
  <si>
    <t>Version:</t>
  </si>
  <si>
    <t>Device:</t>
  </si>
  <si>
    <t>Manufacturer</t>
  </si>
  <si>
    <t>Supplier</t>
  </si>
  <si>
    <t>QTY / PKG</t>
  </si>
  <si>
    <t>PKGs</t>
  </si>
  <si>
    <t>$/ PKG</t>
  </si>
  <si>
    <t>QTY / Device</t>
  </si>
  <si>
    <t>$ / Device</t>
  </si>
  <si>
    <t>Filament</t>
  </si>
  <si>
    <t>Color</t>
  </si>
  <si>
    <t>Any</t>
  </si>
  <si>
    <t>Filament Type</t>
  </si>
  <si>
    <t>PLA</t>
  </si>
  <si>
    <t>$ / kg</t>
  </si>
  <si>
    <t>3D Printed Parts</t>
  </si>
  <si>
    <t>Tools</t>
  </si>
  <si>
    <t>Total Mass</t>
  </si>
  <si>
    <t>Custom PCB</t>
  </si>
  <si>
    <t>Unit Cost</t>
  </si>
  <si>
    <t>Mass (g) / Part</t>
  </si>
  <si>
    <t>Build Cost</t>
  </si>
  <si>
    <t>Total Estimated Cost</t>
  </si>
  <si>
    <t>Alternatives</t>
  </si>
  <si>
    <t>Shipping</t>
  </si>
  <si>
    <t>Tool</t>
  </si>
  <si>
    <t xml:space="preserve"> V1.0</t>
  </si>
  <si>
    <t>Joystick (PS2)</t>
  </si>
  <si>
    <t>Electrical</t>
  </si>
  <si>
    <t xml:space="preserve">https://www.amazon.ca/dp/B089VXPHDH?_encoding=UTF8&amp;psc=1&amp;ref_=cm_sw_r_cp_ud_dp_GGTEDME4PM2P27SG86P7 </t>
  </si>
  <si>
    <t>USB-C cable, 6 ft (can buy this locally)</t>
  </si>
  <si>
    <t xml:space="preserve">https://www.digikey.ca/en/products/detail/cvilux-usa/DH-20M50053/13177348 </t>
  </si>
  <si>
    <t>Adafruit QT Py SAMD21</t>
  </si>
  <si>
    <t xml:space="preserve">https://www.digikey.ca/en/products/detail/adafruit-industries-llc/4600/13543375 </t>
  </si>
  <si>
    <t>3.5 mm mono jack, panel mount</t>
  </si>
  <si>
    <t xml:space="preserve">https://www.digikey.ca/en/products/detail/cui-devices/MJ-3502/281321 </t>
  </si>
  <si>
    <t>Slide switch, right angle</t>
  </si>
  <si>
    <t xml:space="preserve">https://www.digikey.ca/en/products/detail/c-k/OS102011MA1QS1/1981431 </t>
  </si>
  <si>
    <t>Right angle female header, 5 position</t>
  </si>
  <si>
    <t xml:space="preserve">https://www.digikey.ca/en/products/detail/sullins-connector-solutions/PPTC051LGBN-RC/775899 </t>
  </si>
  <si>
    <t>Female header, 7 position, single row, 0.100"</t>
  </si>
  <si>
    <t xml:space="preserve">https://www.digikey.ca/en/products/detail/sullins-connector-solutions/PPTC071LFBN-RC/810146 </t>
  </si>
  <si>
    <t>Mechanical</t>
  </si>
  <si>
    <t xml:space="preserve">https://www.digikey.ca/en/products/detail/serpac/6005/307599 </t>
  </si>
  <si>
    <t xml:space="preserve">https://www.digikey.ca/en/products/detail/cnc-tech/1007-24-1-2000-002-1-TD/17799208 </t>
  </si>
  <si>
    <t xml:space="preserve">https://www.digikey.ca/en/products/detail/cnc-tech/1007-24-1-2000-001-1-TD/17799235 </t>
  </si>
  <si>
    <t xml:space="preserve">https://www.digikey.ca/en/products/detail/cnc-tech/1007-24-1-2000-007-1-TD/17799170 </t>
  </si>
  <si>
    <t xml:space="preserve">https://www.digikey.ca/en/products/detail/te-connectivity/2-604771-9/2259327 </t>
  </si>
  <si>
    <t xml:space="preserve">https://www.digikey.ca/en/products/detail/keystone-electronics/4708/4499301 </t>
  </si>
  <si>
    <t xml:space="preserve">https://www.digikey.ca/en/products/detail/apm-hexseal/RM3X12MM-2701/2063201 </t>
  </si>
  <si>
    <t xml:space="preserve">https://www.homedepot.ca/product/paulin-1-4-inch-20-tee-nuts-4-prong-5-16-inch-barrel-length/1000129429 </t>
  </si>
  <si>
    <t>Digikey shipping (if spending less than $100)</t>
  </si>
  <si>
    <t>Enclosure bottom</t>
  </si>
  <si>
    <t>Enclosure top</t>
  </si>
  <si>
    <t>3D PCB</t>
  </si>
  <si>
    <t xml:space="preserve">Slide switch </t>
  </si>
  <si>
    <t>Wishiot</t>
  </si>
  <si>
    <t>Amazon</t>
  </si>
  <si>
    <t>Cvilux USA</t>
  </si>
  <si>
    <t>DigiKey</t>
  </si>
  <si>
    <t>Adafruit Industries LLC</t>
  </si>
  <si>
    <t>Same Sky</t>
  </si>
  <si>
    <t>C&amp;K</t>
  </si>
  <si>
    <t>Sullins Connector Solutions</t>
  </si>
  <si>
    <t>Serpac</t>
  </si>
  <si>
    <t>CNC Tech</t>
  </si>
  <si>
    <t>APM Hexseal</t>
  </si>
  <si>
    <t>TE Connectivity AMP Connectors</t>
  </si>
  <si>
    <t>Keystone Electronics</t>
  </si>
  <si>
    <t>Home Depot</t>
  </si>
  <si>
    <t>Paulin</t>
  </si>
  <si>
    <t>#4 Metal Screw, 3/8″ Length, 100 pack</t>
  </si>
  <si>
    <t>USB-C cable, 3 feet</t>
  </si>
  <si>
    <t>USB-C cable, 6 feet, 2 pack</t>
  </si>
  <si>
    <t>USB-C cable, 6 feet, 5 pack</t>
  </si>
  <si>
    <t>Heyco Products Corporation</t>
  </si>
  <si>
    <t>Small Parts</t>
  </si>
  <si>
    <t>Wcakby</t>
  </si>
  <si>
    <t>CLEEFUN</t>
  </si>
  <si>
    <t xml:space="preserve">https://a.co/d/523bJeL </t>
  </si>
  <si>
    <t xml:space="preserve">https://a.co/d/97Y71JT </t>
  </si>
  <si>
    <t>https://a.co/d/6UE2og9</t>
  </si>
  <si>
    <t>https://a.co/d/b3qG7jC</t>
  </si>
  <si>
    <t>https://www.digikey.ca/en/products/detail/heyco-products-corporation/13123B/15791902</t>
  </si>
  <si>
    <t>Flush cutters</t>
  </si>
  <si>
    <t>Wire strippers</t>
  </si>
  <si>
    <t>Soldering iron</t>
  </si>
  <si>
    <t>Philips head screw driver</t>
  </si>
  <si>
    <t>Cedar Mini USB Joystick</t>
  </si>
  <si>
    <t>Cable Tie</t>
  </si>
  <si>
    <t>Wire, 24 AWG, solid core, 1 foot, white</t>
  </si>
  <si>
    <t>Wire, 24 AWG, solid core, 1 foot, black</t>
  </si>
  <si>
    <t>Wire, 24 AWG, solid core, 1 foot, green</t>
  </si>
  <si>
    <t>Cable Tie, 4 in.</t>
  </si>
  <si>
    <t>Hex Nut, M3</t>
  </si>
  <si>
    <t>Machine Screw, M3, Pan Head, 12mm (Optional for mount)</t>
  </si>
  <si>
    <t>Tee nut, 1/4-20 UNC, 5/16 in length  (Optional for mount)</t>
  </si>
  <si>
    <t>Sheet Metal Screw, #4, 3/8″ Length (if building more than one, link below)</t>
  </si>
  <si>
    <t>&lt;None&gt;</t>
  </si>
  <si>
    <t>Wire, 22 AWG, Solid Core, Multiple Color Pack</t>
  </si>
  <si>
    <t>Adafruit</t>
  </si>
  <si>
    <t>https://www.adafruit.com/product/1311</t>
  </si>
  <si>
    <t xml:space="preserve">https://www.digikey.ca/en/products/detail/adafruit-industries-llc/1311/6198255 </t>
  </si>
  <si>
    <t>RAM or 1/4-20 Mounting Adapter (Optional)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</si>
</sst>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_(&quot;$&quot;* #,##0.00_);_(&quot;$&quot;* \(#,##0.00\);_(&quot;$&quot;* &quot;-&quot;??_);_(@_)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8"/>
      <color theme="1"/>
      <name val="Roboto Black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1" tint="0.249977111117893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rgb="FF000000"/>
      </bottom>
      <diagonal/>
    </border>
  </borders>
  <cellStyleXfs count="16">
    <xf numFmtId="0" fontId="0" fillId="0" borderId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3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44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76">
    <xf numFmtId="0" fontId="0" fillId="0" borderId="0" xfId="0"/>
    <xf numFmtId="0" fontId="2" fillId="0" borderId="0" xfId="0" applyFont="1"/>
    <xf numFmtId="0" fontId="4" fillId="0" borderId="0" xfId="0" applyFont="1" applyAlignment="1">
      <alignment horizontal="left"/>
    </xf>
    <xf numFmtId="0" fontId="0" fillId="0" borderId="4" xfId="0" applyBorder="1"/>
    <xf numFmtId="0" fontId="2" fillId="0" borderId="4" xfId="0" applyFont="1" applyBorder="1"/>
    <xf numFmtId="0" fontId="1" fillId="7" borderId="5" xfId="6" applyBorder="1"/>
    <xf numFmtId="0" fontId="1" fillId="7" borderId="0" xfId="6"/>
    <xf numFmtId="44" fontId="1" fillId="7" borderId="5" xfId="6" applyNumberFormat="1" applyBorder="1"/>
    <xf numFmtId="0" fontId="1" fillId="7" borderId="1" xfId="6" applyBorder="1"/>
    <xf numFmtId="44" fontId="1" fillId="6" borderId="2" xfId="5" applyNumberFormat="1" applyBorder="1"/>
    <xf numFmtId="44" fontId="1" fillId="4" borderId="1" xfId="3" applyNumberFormat="1" applyBorder="1"/>
    <xf numFmtId="0" fontId="1" fillId="4" borderId="1" xfId="3" applyBorder="1"/>
    <xf numFmtId="44" fontId="1" fillId="14" borderId="1" xfId="13" applyNumberFormat="1" applyBorder="1"/>
    <xf numFmtId="0" fontId="1" fillId="14" borderId="1" xfId="13" applyBorder="1"/>
    <xf numFmtId="44" fontId="1" fillId="13" borderId="2" xfId="12" applyNumberFormat="1" applyBorder="1"/>
    <xf numFmtId="0" fontId="1" fillId="9" borderId="1" xfId="8" applyBorder="1"/>
    <xf numFmtId="0" fontId="1" fillId="6" borderId="2" xfId="5" applyBorder="1"/>
    <xf numFmtId="0" fontId="1" fillId="13" borderId="2" xfId="12" applyBorder="1"/>
    <xf numFmtId="0" fontId="1" fillId="11" borderId="2" xfId="10" applyBorder="1"/>
    <xf numFmtId="0" fontId="1" fillId="8" borderId="2" xfId="7" applyBorder="1"/>
    <xf numFmtId="0" fontId="1" fillId="6" borderId="6" xfId="5" applyBorder="1"/>
    <xf numFmtId="44" fontId="1" fillId="6" borderId="6" xfId="5" applyNumberFormat="1" applyBorder="1"/>
    <xf numFmtId="0" fontId="1" fillId="3" borderId="6" xfId="2" applyBorder="1"/>
    <xf numFmtId="44" fontId="1" fillId="3" borderId="6" xfId="2" applyNumberFormat="1" applyBorder="1"/>
    <xf numFmtId="0" fontId="1" fillId="13" borderId="6" xfId="12" applyBorder="1"/>
    <xf numFmtId="44" fontId="1" fillId="13" borderId="6" xfId="12" applyNumberFormat="1" applyBorder="1"/>
    <xf numFmtId="0" fontId="1" fillId="11" borderId="6" xfId="10" applyBorder="1"/>
    <xf numFmtId="0" fontId="1" fillId="12" borderId="7" xfId="11" applyBorder="1"/>
    <xf numFmtId="0" fontId="1" fillId="8" borderId="6" xfId="7" applyBorder="1"/>
    <xf numFmtId="0" fontId="1" fillId="6" borderId="8" xfId="5" applyBorder="1"/>
    <xf numFmtId="0" fontId="1" fillId="4" borderId="9" xfId="3" applyBorder="1"/>
    <xf numFmtId="0" fontId="1" fillId="4" borderId="10" xfId="3" applyBorder="1"/>
    <xf numFmtId="0" fontId="1" fillId="4" borderId="11" xfId="3" applyBorder="1"/>
    <xf numFmtId="0" fontId="1" fillId="4" borderId="12" xfId="3" applyBorder="1"/>
    <xf numFmtId="0" fontId="1" fillId="14" borderId="9" xfId="13" applyBorder="1"/>
    <xf numFmtId="0" fontId="1" fillId="14" borderId="10" xfId="13" applyBorder="1"/>
    <xf numFmtId="44" fontId="1" fillId="14" borderId="10" xfId="13" applyNumberFormat="1" applyBorder="1"/>
    <xf numFmtId="0" fontId="1" fillId="14" borderId="11" xfId="13" applyBorder="1"/>
    <xf numFmtId="0" fontId="1" fillId="14" borderId="12" xfId="13" applyBorder="1"/>
    <xf numFmtId="0" fontId="1" fillId="12" borderId="9" xfId="11" applyBorder="1"/>
    <xf numFmtId="0" fontId="1" fillId="12" borderId="10" xfId="11" applyBorder="1"/>
    <xf numFmtId="44" fontId="1" fillId="12" borderId="10" xfId="11" applyNumberFormat="1" applyBorder="1"/>
    <xf numFmtId="0" fontId="1" fillId="12" borderId="11" xfId="11" applyBorder="1"/>
    <xf numFmtId="0" fontId="1" fillId="12" borderId="12" xfId="11" applyBorder="1"/>
    <xf numFmtId="0" fontId="1" fillId="11" borderId="8" xfId="10" applyBorder="1"/>
    <xf numFmtId="0" fontId="1" fillId="9" borderId="9" xfId="8" applyBorder="1"/>
    <xf numFmtId="0" fontId="1" fillId="9" borderId="14" xfId="8" applyBorder="1"/>
    <xf numFmtId="0" fontId="1" fillId="9" borderId="12" xfId="8" applyBorder="1"/>
    <xf numFmtId="0" fontId="2" fillId="7" borderId="5" xfId="6" applyFont="1" applyBorder="1"/>
    <xf numFmtId="0" fontId="2" fillId="4" borderId="1" xfId="3" applyFont="1" applyBorder="1"/>
    <xf numFmtId="0" fontId="2" fillId="14" borderId="1" xfId="13" applyFont="1" applyBorder="1"/>
    <xf numFmtId="0" fontId="2" fillId="12" borderId="1" xfId="11" applyFont="1" applyBorder="1"/>
    <xf numFmtId="0" fontId="2" fillId="9" borderId="13" xfId="8" applyFont="1" applyBorder="1"/>
    <xf numFmtId="0" fontId="5" fillId="0" borderId="0" xfId="0" applyFont="1"/>
    <xf numFmtId="0" fontId="5" fillId="10" borderId="3" xfId="9" applyFont="1" applyBorder="1"/>
    <xf numFmtId="0" fontId="6" fillId="2" borderId="0" xfId="1" applyFont="1"/>
    <xf numFmtId="0" fontId="5" fillId="0" borderId="4" xfId="0" applyFont="1" applyBorder="1"/>
    <xf numFmtId="44" fontId="5" fillId="10" borderId="5" xfId="9" applyNumberFormat="1" applyFont="1" applyBorder="1"/>
    <xf numFmtId="164" fontId="5" fillId="2" borderId="4" xfId="1" applyNumberFormat="1" applyFont="1" applyBorder="1"/>
    <xf numFmtId="0" fontId="1" fillId="5" borderId="3" xfId="4" applyBorder="1"/>
    <xf numFmtId="0" fontId="1" fillId="5" borderId="5" xfId="4" applyBorder="1"/>
    <xf numFmtId="44" fontId="1" fillId="7" borderId="1" xfId="6" applyNumberFormat="1" applyBorder="1"/>
    <xf numFmtId="0" fontId="1" fillId="12" borderId="1" xfId="11" applyBorder="1"/>
    <xf numFmtId="0" fontId="1" fillId="9" borderId="10" xfId="8" applyBorder="1"/>
    <xf numFmtId="0" fontId="1" fillId="9" borderId="11" xfId="8" applyBorder="1"/>
    <xf numFmtId="0" fontId="1" fillId="15" borderId="8" xfId="12" applyFill="1" applyBorder="1"/>
    <xf numFmtId="44" fontId="1" fillId="15" borderId="8" xfId="12" applyNumberFormat="1" applyFill="1" applyBorder="1"/>
    <xf numFmtId="0" fontId="0" fillId="15" borderId="4" xfId="0" applyFill="1" applyBorder="1"/>
    <xf numFmtId="14" fontId="0" fillId="0" borderId="4" xfId="0" applyNumberFormat="1" applyBorder="1" applyAlignment="1">
      <alignment horizontal="left"/>
    </xf>
    <xf numFmtId="0" fontId="7" fillId="6" borderId="6" xfId="15" applyFill="1" applyBorder="1"/>
    <xf numFmtId="0" fontId="7" fillId="6" borderId="2" xfId="15" applyFill="1" applyBorder="1"/>
    <xf numFmtId="165" fontId="1" fillId="13" borderId="2" xfId="12" applyNumberFormat="1" applyBorder="1"/>
    <xf numFmtId="44" fontId="1" fillId="8" borderId="6" xfId="14" applyFill="1" applyBorder="1"/>
    <xf numFmtId="0" fontId="7" fillId="8" borderId="6" xfId="15" applyFill="1" applyBorder="1"/>
    <xf numFmtId="0" fontId="7" fillId="8" borderId="2" xfId="15" applyFill="1" applyBorder="1"/>
    <xf numFmtId="0" fontId="4" fillId="0" borderId="0" xfId="0" applyFont="1" applyAlignment="1">
      <alignment horizontal="left"/>
    </xf>
  </cellXfs>
  <cellStyles count="16">
    <cellStyle name="20% - Accent1" xfId="2" builtinId="30"/>
    <cellStyle name="20% - Accent2" xfId="5" builtinId="34"/>
    <cellStyle name="20% - Accent3" xfId="7" builtinId="38"/>
    <cellStyle name="20% - Accent4" xfId="10" builtinId="42"/>
    <cellStyle name="20% - Accent6" xfId="12" builtinId="50"/>
    <cellStyle name="40% - Accent1" xfId="3" builtinId="31"/>
    <cellStyle name="40% - Accent2" xfId="6" builtinId="35"/>
    <cellStyle name="40% - Accent3" xfId="8" builtinId="39"/>
    <cellStyle name="40% - Accent4" xfId="11" builtinId="43"/>
    <cellStyle name="40% - Accent6" xfId="13" builtinId="51"/>
    <cellStyle name="60% - Accent1" xfId="4" builtinId="32"/>
    <cellStyle name="Accent2" xfId="1" builtinId="33"/>
    <cellStyle name="Accent4" xfId="9" builtinId="41"/>
    <cellStyle name="Currency" xfId="14" builtinId="4"/>
    <cellStyle name="Hyperlink" xfId="15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a/en/products/detail/serpac/6005/307599" TargetMode="External"/><Relationship Id="rId13" Type="http://schemas.openxmlformats.org/officeDocument/2006/relationships/hyperlink" Target="https://www.digikey.ca/en/products/detail/keystone-electronics/4708/4499301" TargetMode="External"/><Relationship Id="rId18" Type="http://schemas.openxmlformats.org/officeDocument/2006/relationships/hyperlink" Target="https://a.co/d/6UE2og9" TargetMode="External"/><Relationship Id="rId3" Type="http://schemas.openxmlformats.org/officeDocument/2006/relationships/hyperlink" Target="https://www.digikey.ca/en/products/detail/adafruit-industries-llc/4600/13543375" TargetMode="External"/><Relationship Id="rId21" Type="http://schemas.openxmlformats.org/officeDocument/2006/relationships/hyperlink" Target="https://www.adafruit.com/product/1311" TargetMode="External"/><Relationship Id="rId7" Type="http://schemas.openxmlformats.org/officeDocument/2006/relationships/hyperlink" Target="https://www.digikey.ca/en/products/detail/sullins-connector-solutions/PPTC071LFBN-RC/810146" TargetMode="External"/><Relationship Id="rId12" Type="http://schemas.openxmlformats.org/officeDocument/2006/relationships/hyperlink" Target="https://www.digikey.ca/en/products/detail/te-connectivity/2-604771-9/2259327" TargetMode="External"/><Relationship Id="rId17" Type="http://schemas.openxmlformats.org/officeDocument/2006/relationships/hyperlink" Target="https://a.co/d/97Y71JT" TargetMode="External"/><Relationship Id="rId2" Type="http://schemas.openxmlformats.org/officeDocument/2006/relationships/hyperlink" Target="https://www.digikey.ca/en/products/detail/cvilux-usa/DH-20M50053/13177348" TargetMode="External"/><Relationship Id="rId16" Type="http://schemas.openxmlformats.org/officeDocument/2006/relationships/hyperlink" Target="https://a.co/d/523bJeL" TargetMode="External"/><Relationship Id="rId20" Type="http://schemas.openxmlformats.org/officeDocument/2006/relationships/hyperlink" Target="https://www.digikey.ca/en/products/detail/heyco-products-corporation/13123B/15791902" TargetMode="External"/><Relationship Id="rId1" Type="http://schemas.openxmlformats.org/officeDocument/2006/relationships/hyperlink" Target="https://www.amazon.ca/dp/B089VXPHDH?_encoding=UTF8&amp;psc=1&amp;ref_=cm_sw_r_cp_ud_dp_GGTEDME4PM2P27SG86P7" TargetMode="External"/><Relationship Id="rId6" Type="http://schemas.openxmlformats.org/officeDocument/2006/relationships/hyperlink" Target="https://www.digikey.ca/en/products/detail/sullins-connector-solutions/PPTC051LGBN-RC/775899" TargetMode="External"/><Relationship Id="rId11" Type="http://schemas.openxmlformats.org/officeDocument/2006/relationships/hyperlink" Target="https://www.digikey.ca/en/products/detail/cnc-tech/1007-24-1-2000-007-1-TD/17799170" TargetMode="External"/><Relationship Id="rId5" Type="http://schemas.openxmlformats.org/officeDocument/2006/relationships/hyperlink" Target="https://www.digikey.ca/en/products/detail/c-k/OS102011MA1QS1/1981431" TargetMode="External"/><Relationship Id="rId15" Type="http://schemas.openxmlformats.org/officeDocument/2006/relationships/hyperlink" Target="https://www.homedepot.ca/product/paulin-1-4-inch-20-tee-nuts-4-prong-5-16-inch-barrel-length/1000129429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https://www.digikey.ca/en/products/detail/cnc-tech/1007-24-1-2000-001-1-TD/17799235" TargetMode="External"/><Relationship Id="rId19" Type="http://schemas.openxmlformats.org/officeDocument/2006/relationships/hyperlink" Target="https://a.co/d/b3qG7jC" TargetMode="External"/><Relationship Id="rId4" Type="http://schemas.openxmlformats.org/officeDocument/2006/relationships/hyperlink" Target="https://www.digikey.ca/en/products/detail/cui-devices/MJ-3502/281321" TargetMode="External"/><Relationship Id="rId9" Type="http://schemas.openxmlformats.org/officeDocument/2006/relationships/hyperlink" Target="https://www.digikey.ca/en/products/detail/cnc-tech/1007-24-1-2000-002-1-TD/17799208" TargetMode="External"/><Relationship Id="rId14" Type="http://schemas.openxmlformats.org/officeDocument/2006/relationships/hyperlink" Target="https://www.digikey.ca/en/products/detail/apm-hexseal/RM3X12MM-2701/2063201" TargetMode="External"/><Relationship Id="rId22" Type="http://schemas.openxmlformats.org/officeDocument/2006/relationships/hyperlink" Target="https://www.digikey.ca/en/products/detail/adafruit-industries-llc/1311/61982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E8AD1-7DB5-46E4-9BCF-A08DFBDA7B00}">
  <dimension ref="A1:N55"/>
  <sheetViews>
    <sheetView tabSelected="1" topLeftCell="A2" workbookViewId="0">
      <selection activeCell="M29" sqref="M29"/>
    </sheetView>
  </sheetViews>
  <sheetFormatPr defaultRowHeight="15" x14ac:dyDescent="0.25"/>
  <cols>
    <col min="1" max="1" width="19.28515625" customWidth="1"/>
    <col min="2" max="2" width="60" bestFit="1" customWidth="1"/>
    <col min="3" max="3" width="11.140625" bestFit="1" customWidth="1"/>
    <col min="4" max="4" width="12.85546875" customWidth="1"/>
    <col min="5" max="5" width="29.42578125" bestFit="1" customWidth="1"/>
    <col min="6" max="6" width="11.7109375" bestFit="1" customWidth="1"/>
    <col min="7" max="7" width="12.140625" bestFit="1" customWidth="1"/>
    <col min="8" max="8" width="13.7109375" bestFit="1" customWidth="1"/>
    <col min="9" max="9" width="15.85546875" customWidth="1"/>
    <col min="10" max="10" width="8" bestFit="1" customWidth="1"/>
    <col min="11" max="11" width="9.7109375" bestFit="1" customWidth="1"/>
    <col min="12" max="12" width="20.42578125" customWidth="1"/>
    <col min="13" max="13" width="10.7109375" customWidth="1"/>
    <col min="14" max="14" width="110.85546875" bestFit="1" customWidth="1"/>
  </cols>
  <sheetData>
    <row r="1" spans="1:14" ht="35.25" x14ac:dyDescent="0.5">
      <c r="A1" s="2" t="s">
        <v>8</v>
      </c>
      <c r="B1" s="75" t="s">
        <v>95</v>
      </c>
      <c r="C1" s="75"/>
      <c r="D1" s="75"/>
      <c r="E1" s="75"/>
      <c r="F1" s="75"/>
      <c r="G1" s="75"/>
      <c r="H1" s="75"/>
      <c r="I1" s="75"/>
      <c r="J1" s="75"/>
    </row>
    <row r="2" spans="1:14" x14ac:dyDescent="0.25">
      <c r="A2" s="1" t="s">
        <v>7</v>
      </c>
      <c r="B2" t="s">
        <v>33</v>
      </c>
    </row>
    <row r="3" spans="1:14" s="3" customFormat="1" ht="15.75" thickBot="1" x14ac:dyDescent="0.3">
      <c r="A3" s="4" t="s">
        <v>6</v>
      </c>
      <c r="B3" s="68">
        <v>45915</v>
      </c>
    </row>
    <row r="4" spans="1:14" x14ac:dyDescent="0.25">
      <c r="I4" s="59" t="s">
        <v>0</v>
      </c>
      <c r="J4" s="53"/>
      <c r="K4" s="54" t="s">
        <v>26</v>
      </c>
      <c r="L4" s="55" t="s">
        <v>29</v>
      </c>
      <c r="M4" t="s">
        <v>28</v>
      </c>
    </row>
    <row r="5" spans="1:14" s="3" customFormat="1" ht="15.75" thickBot="1" x14ac:dyDescent="0.3">
      <c r="C5" s="4"/>
      <c r="D5" s="4"/>
      <c r="E5" s="4"/>
      <c r="F5" s="4"/>
      <c r="I5" s="60">
        <f>SUM(H27:H31)</f>
        <v>42.300000000000004</v>
      </c>
      <c r="J5" s="56"/>
      <c r="K5" s="57">
        <f>K6+K32+K25</f>
        <v>42.788099999999986</v>
      </c>
      <c r="L5" s="58">
        <f>L6+L32+L25</f>
        <v>62.579099999999983</v>
      </c>
    </row>
    <row r="6" spans="1:14" ht="15.75" thickBot="1" x14ac:dyDescent="0.3">
      <c r="A6" s="5" t="s">
        <v>5</v>
      </c>
      <c r="B6" s="48" t="s">
        <v>4</v>
      </c>
      <c r="C6" s="6"/>
      <c r="D6" s="6"/>
      <c r="E6" s="6"/>
      <c r="F6" s="6"/>
      <c r="G6" s="6"/>
      <c r="H6" s="6"/>
      <c r="I6" s="6"/>
      <c r="J6" s="6"/>
      <c r="K6" s="61">
        <f>SUM(K8:K24)</f>
        <v>41.728999999999985</v>
      </c>
      <c r="L6" s="7">
        <f>SUM(L8:L24)</f>
        <v>61.519999999999982</v>
      </c>
      <c r="M6" s="6"/>
      <c r="N6" s="6"/>
    </row>
    <row r="7" spans="1:14" ht="15.75" thickBot="1" x14ac:dyDescent="0.3">
      <c r="A7" s="8"/>
      <c r="B7" s="8" t="s">
        <v>2</v>
      </c>
      <c r="C7" s="8" t="s">
        <v>3</v>
      </c>
      <c r="D7" s="8"/>
      <c r="E7" s="8" t="s">
        <v>9</v>
      </c>
      <c r="F7" s="8" t="s">
        <v>10</v>
      </c>
      <c r="G7" s="8" t="s">
        <v>14</v>
      </c>
      <c r="H7" s="8" t="s">
        <v>11</v>
      </c>
      <c r="I7" s="8" t="s">
        <v>12</v>
      </c>
      <c r="J7" s="8" t="s">
        <v>13</v>
      </c>
      <c r="K7" s="8" t="s">
        <v>15</v>
      </c>
      <c r="L7" s="8" t="s">
        <v>29</v>
      </c>
      <c r="M7" s="8"/>
      <c r="N7" s="8" t="s">
        <v>1</v>
      </c>
    </row>
    <row r="8" spans="1:14" x14ac:dyDescent="0.25">
      <c r="A8" s="20"/>
      <c r="B8" s="20" t="s">
        <v>34</v>
      </c>
      <c r="C8" s="20" t="s">
        <v>35</v>
      </c>
      <c r="D8" s="20"/>
      <c r="E8" s="20" t="s">
        <v>63</v>
      </c>
      <c r="F8" s="20" t="s">
        <v>64</v>
      </c>
      <c r="G8" s="20">
        <v>1</v>
      </c>
      <c r="H8" s="20">
        <v>10</v>
      </c>
      <c r="I8" s="20">
        <v>1</v>
      </c>
      <c r="J8" s="20">
        <v>21.99</v>
      </c>
      <c r="K8" s="21">
        <f>IF(G8&gt;0,J8/H8*G8,0)</f>
        <v>2.1989999999999998</v>
      </c>
      <c r="L8" s="21">
        <f>I8*J8</f>
        <v>21.99</v>
      </c>
      <c r="M8" s="20"/>
      <c r="N8" s="69" t="s">
        <v>36</v>
      </c>
    </row>
    <row r="9" spans="1:14" x14ac:dyDescent="0.25">
      <c r="A9" s="20"/>
      <c r="B9" s="20" t="s">
        <v>37</v>
      </c>
      <c r="C9" s="20" t="s">
        <v>35</v>
      </c>
      <c r="D9" s="20"/>
      <c r="E9" s="20" t="s">
        <v>65</v>
      </c>
      <c r="F9" s="20" t="s">
        <v>66</v>
      </c>
      <c r="G9" s="20">
        <v>1</v>
      </c>
      <c r="H9" s="20">
        <v>1</v>
      </c>
      <c r="I9" s="20">
        <v>1</v>
      </c>
      <c r="J9" s="20">
        <v>3.43</v>
      </c>
      <c r="K9" s="21">
        <f t="shared" ref="K9:K20" si="0">IF(G9&gt;0,J9/H9*G9,0)</f>
        <v>3.43</v>
      </c>
      <c r="L9" s="21">
        <f>I9*J9</f>
        <v>3.43</v>
      </c>
      <c r="M9" s="20"/>
      <c r="N9" s="69" t="s">
        <v>38</v>
      </c>
    </row>
    <row r="10" spans="1:14" x14ac:dyDescent="0.25">
      <c r="A10" s="20"/>
      <c r="B10" s="20" t="s">
        <v>39</v>
      </c>
      <c r="C10" s="20" t="s">
        <v>35</v>
      </c>
      <c r="D10" s="20"/>
      <c r="E10" s="20" t="s">
        <v>67</v>
      </c>
      <c r="F10" s="20" t="s">
        <v>66</v>
      </c>
      <c r="G10" s="20">
        <v>1</v>
      </c>
      <c r="H10" s="20">
        <v>1</v>
      </c>
      <c r="I10" s="20">
        <v>1</v>
      </c>
      <c r="J10" s="20">
        <v>10.93</v>
      </c>
      <c r="K10" s="21">
        <f t="shared" si="0"/>
        <v>10.93</v>
      </c>
      <c r="L10" s="21">
        <f t="shared" ref="L10:L20" si="1">I10*J10</f>
        <v>10.93</v>
      </c>
      <c r="M10" s="20"/>
      <c r="N10" s="69" t="s">
        <v>40</v>
      </c>
    </row>
    <row r="11" spans="1:14" x14ac:dyDescent="0.25">
      <c r="A11" s="20"/>
      <c r="B11" s="20" t="s">
        <v>41</v>
      </c>
      <c r="C11" s="20" t="s">
        <v>35</v>
      </c>
      <c r="D11" s="20"/>
      <c r="E11" s="20" t="s">
        <v>68</v>
      </c>
      <c r="F11" s="20" t="s">
        <v>66</v>
      </c>
      <c r="G11" s="20">
        <v>3</v>
      </c>
      <c r="H11" s="20">
        <v>1</v>
      </c>
      <c r="I11" s="20">
        <v>3</v>
      </c>
      <c r="J11" s="20">
        <v>2.19</v>
      </c>
      <c r="K11" s="21">
        <f t="shared" si="0"/>
        <v>6.57</v>
      </c>
      <c r="L11" s="21">
        <f t="shared" si="1"/>
        <v>6.57</v>
      </c>
      <c r="M11" s="20"/>
      <c r="N11" s="69" t="s">
        <v>42</v>
      </c>
    </row>
    <row r="12" spans="1:14" x14ac:dyDescent="0.25">
      <c r="A12" s="20"/>
      <c r="B12" s="20" t="s">
        <v>43</v>
      </c>
      <c r="C12" s="20" t="s">
        <v>35</v>
      </c>
      <c r="D12" s="20"/>
      <c r="E12" s="20" t="s">
        <v>69</v>
      </c>
      <c r="F12" s="20" t="s">
        <v>66</v>
      </c>
      <c r="G12" s="20">
        <v>1</v>
      </c>
      <c r="H12" s="20">
        <v>1</v>
      </c>
      <c r="I12" s="20">
        <v>1</v>
      </c>
      <c r="J12" s="20">
        <v>0.95</v>
      </c>
      <c r="K12" s="21">
        <f t="shared" si="0"/>
        <v>0.95</v>
      </c>
      <c r="L12" s="21">
        <f t="shared" si="1"/>
        <v>0.95</v>
      </c>
      <c r="M12" s="20"/>
      <c r="N12" s="69" t="s">
        <v>44</v>
      </c>
    </row>
    <row r="13" spans="1:14" x14ac:dyDescent="0.25">
      <c r="A13" s="20"/>
      <c r="B13" s="20" t="s">
        <v>45</v>
      </c>
      <c r="C13" s="20" t="s">
        <v>35</v>
      </c>
      <c r="D13" s="20"/>
      <c r="E13" s="20" t="s">
        <v>70</v>
      </c>
      <c r="F13" s="20" t="s">
        <v>66</v>
      </c>
      <c r="G13" s="20">
        <v>1</v>
      </c>
      <c r="H13" s="20">
        <v>1</v>
      </c>
      <c r="I13" s="20">
        <v>1</v>
      </c>
      <c r="J13" s="20">
        <v>0.76</v>
      </c>
      <c r="K13" s="21">
        <f t="shared" si="0"/>
        <v>0.76</v>
      </c>
      <c r="L13" s="21">
        <f t="shared" si="1"/>
        <v>0.76</v>
      </c>
      <c r="M13" s="20"/>
      <c r="N13" s="69" t="s">
        <v>46</v>
      </c>
    </row>
    <row r="14" spans="1:14" x14ac:dyDescent="0.25">
      <c r="A14" s="20"/>
      <c r="B14" s="20" t="s">
        <v>47</v>
      </c>
      <c r="C14" s="20" t="s">
        <v>35</v>
      </c>
      <c r="D14" s="20"/>
      <c r="E14" s="20" t="s">
        <v>70</v>
      </c>
      <c r="F14" s="20" t="s">
        <v>66</v>
      </c>
      <c r="G14" s="20">
        <v>2</v>
      </c>
      <c r="H14" s="20">
        <v>1</v>
      </c>
      <c r="I14" s="20">
        <v>2</v>
      </c>
      <c r="J14" s="20">
        <v>0.68</v>
      </c>
      <c r="K14" s="21">
        <f t="shared" si="0"/>
        <v>1.36</v>
      </c>
      <c r="L14" s="21">
        <f t="shared" si="1"/>
        <v>1.36</v>
      </c>
      <c r="M14" s="20"/>
      <c r="N14" s="69" t="s">
        <v>48</v>
      </c>
    </row>
    <row r="15" spans="1:14" x14ac:dyDescent="0.25">
      <c r="A15" s="20"/>
      <c r="B15" s="20" t="s">
        <v>104</v>
      </c>
      <c r="C15" s="20" t="s">
        <v>49</v>
      </c>
      <c r="D15" s="20"/>
      <c r="E15" s="20" t="s">
        <v>71</v>
      </c>
      <c r="F15" s="20" t="s">
        <v>66</v>
      </c>
      <c r="G15" s="20">
        <v>8</v>
      </c>
      <c r="H15" s="20">
        <v>1</v>
      </c>
      <c r="I15" s="20">
        <v>8</v>
      </c>
      <c r="J15" s="20">
        <v>0.61</v>
      </c>
      <c r="K15" s="21">
        <f t="shared" si="0"/>
        <v>4.88</v>
      </c>
      <c r="L15" s="21">
        <f t="shared" si="1"/>
        <v>4.88</v>
      </c>
      <c r="M15" s="20"/>
      <c r="N15" s="69" t="s">
        <v>50</v>
      </c>
    </row>
    <row r="16" spans="1:14" x14ac:dyDescent="0.25">
      <c r="A16" s="20"/>
      <c r="B16" s="20" t="s">
        <v>97</v>
      </c>
      <c r="C16" s="20" t="s">
        <v>35</v>
      </c>
      <c r="D16" s="20"/>
      <c r="E16" s="20" t="s">
        <v>72</v>
      </c>
      <c r="F16" s="20" t="s">
        <v>66</v>
      </c>
      <c r="G16" s="20">
        <v>1</v>
      </c>
      <c r="H16" s="20">
        <v>1</v>
      </c>
      <c r="I16" s="20">
        <v>1</v>
      </c>
      <c r="J16" s="20">
        <v>0.73</v>
      </c>
      <c r="K16" s="21">
        <f t="shared" si="0"/>
        <v>0.73</v>
      </c>
      <c r="L16" s="21">
        <f t="shared" si="1"/>
        <v>0.73</v>
      </c>
      <c r="M16" s="20"/>
      <c r="N16" s="69" t="s">
        <v>51</v>
      </c>
    </row>
    <row r="17" spans="1:14" x14ac:dyDescent="0.25">
      <c r="A17" s="20"/>
      <c r="B17" s="20" t="s">
        <v>98</v>
      </c>
      <c r="C17" s="20" t="s">
        <v>35</v>
      </c>
      <c r="D17" s="20"/>
      <c r="E17" s="20" t="s">
        <v>72</v>
      </c>
      <c r="F17" s="20" t="s">
        <v>66</v>
      </c>
      <c r="G17" s="20">
        <v>1</v>
      </c>
      <c r="H17" s="20">
        <v>1</v>
      </c>
      <c r="I17" s="20">
        <v>1</v>
      </c>
      <c r="J17" s="20">
        <v>0.73</v>
      </c>
      <c r="K17" s="21">
        <f t="shared" si="0"/>
        <v>0.73</v>
      </c>
      <c r="L17" s="21">
        <f t="shared" si="1"/>
        <v>0.73</v>
      </c>
      <c r="M17" s="20"/>
      <c r="N17" s="69" t="s">
        <v>52</v>
      </c>
    </row>
    <row r="18" spans="1:14" x14ac:dyDescent="0.25">
      <c r="A18" s="20"/>
      <c r="B18" s="20" t="s">
        <v>99</v>
      </c>
      <c r="C18" s="20" t="s">
        <v>35</v>
      </c>
      <c r="D18" s="20"/>
      <c r="E18" s="20" t="s">
        <v>72</v>
      </c>
      <c r="F18" s="20" t="s">
        <v>66</v>
      </c>
      <c r="G18" s="20">
        <v>1</v>
      </c>
      <c r="H18" s="20">
        <v>1</v>
      </c>
      <c r="I18" s="20">
        <v>1</v>
      </c>
      <c r="J18" s="20">
        <v>0.73</v>
      </c>
      <c r="K18" s="21">
        <f t="shared" si="0"/>
        <v>0.73</v>
      </c>
      <c r="L18" s="21">
        <f t="shared" si="1"/>
        <v>0.73</v>
      </c>
      <c r="M18" s="20"/>
      <c r="N18" s="69" t="s">
        <v>53</v>
      </c>
    </row>
    <row r="19" spans="1:14" x14ac:dyDescent="0.25">
      <c r="A19" s="16"/>
      <c r="B19" s="16" t="s">
        <v>100</v>
      </c>
      <c r="C19" s="16" t="s">
        <v>49</v>
      </c>
      <c r="D19" s="16"/>
      <c r="E19" s="16" t="s">
        <v>74</v>
      </c>
      <c r="F19" s="16" t="s">
        <v>66</v>
      </c>
      <c r="G19" s="16">
        <v>1</v>
      </c>
      <c r="H19" s="16">
        <v>1</v>
      </c>
      <c r="I19" s="16">
        <v>1</v>
      </c>
      <c r="J19" s="16">
        <v>0.16</v>
      </c>
      <c r="K19" s="21">
        <f t="shared" si="0"/>
        <v>0.16</v>
      </c>
      <c r="L19" s="21">
        <f t="shared" si="1"/>
        <v>0.16</v>
      </c>
      <c r="M19" s="16"/>
      <c r="N19" s="70" t="s">
        <v>54</v>
      </c>
    </row>
    <row r="20" spans="1:14" x14ac:dyDescent="0.25">
      <c r="A20" s="16"/>
      <c r="B20" s="16" t="s">
        <v>101</v>
      </c>
      <c r="C20" s="16" t="s">
        <v>49</v>
      </c>
      <c r="D20" s="16"/>
      <c r="E20" s="16" t="s">
        <v>75</v>
      </c>
      <c r="F20" s="16" t="s">
        <v>66</v>
      </c>
      <c r="G20" s="16">
        <v>2</v>
      </c>
      <c r="H20" s="16">
        <v>1</v>
      </c>
      <c r="I20" s="16">
        <v>2</v>
      </c>
      <c r="J20" s="16">
        <v>0.15</v>
      </c>
      <c r="K20" s="21">
        <f t="shared" si="0"/>
        <v>0.3</v>
      </c>
      <c r="L20" s="21">
        <f t="shared" si="1"/>
        <v>0.3</v>
      </c>
      <c r="M20" s="16"/>
      <c r="N20" s="70" t="s">
        <v>55</v>
      </c>
    </row>
    <row r="21" spans="1:14" x14ac:dyDescent="0.25">
      <c r="A21" s="16"/>
      <c r="B21" s="16" t="s">
        <v>102</v>
      </c>
      <c r="C21" s="16" t="s">
        <v>49</v>
      </c>
      <c r="D21" s="16"/>
      <c r="E21" s="16" t="s">
        <v>73</v>
      </c>
      <c r="F21" s="16" t="s">
        <v>66</v>
      </c>
      <c r="G21" s="16">
        <v>0</v>
      </c>
      <c r="H21" s="16">
        <v>1</v>
      </c>
      <c r="I21" s="16">
        <v>0</v>
      </c>
      <c r="J21" s="16">
        <v>0.98</v>
      </c>
      <c r="K21" s="9">
        <f t="shared" ref="K21:K23" si="2">IF(G21&gt;0,J21/H21*G21,0)</f>
        <v>0</v>
      </c>
      <c r="L21" s="9">
        <f t="shared" ref="L21:L23" si="3">I21*J21</f>
        <v>0</v>
      </c>
      <c r="M21" s="16"/>
      <c r="N21" s="70" t="s">
        <v>56</v>
      </c>
    </row>
    <row r="22" spans="1:14" x14ac:dyDescent="0.25">
      <c r="A22" s="16"/>
      <c r="B22" s="16" t="s">
        <v>103</v>
      </c>
      <c r="C22" s="16" t="s">
        <v>49</v>
      </c>
      <c r="D22" s="16"/>
      <c r="E22" s="16" t="s">
        <v>77</v>
      </c>
      <c r="F22" s="16" t="s">
        <v>76</v>
      </c>
      <c r="G22" s="16">
        <v>0</v>
      </c>
      <c r="H22" s="16">
        <v>1</v>
      </c>
      <c r="I22" s="16">
        <v>0</v>
      </c>
      <c r="J22" s="16">
        <v>0.55000000000000004</v>
      </c>
      <c r="K22" s="9">
        <f t="shared" si="2"/>
        <v>0</v>
      </c>
      <c r="L22" s="9">
        <f t="shared" si="3"/>
        <v>0</v>
      </c>
      <c r="M22" s="16"/>
      <c r="N22" s="70" t="s">
        <v>57</v>
      </c>
    </row>
    <row r="23" spans="1:14" x14ac:dyDescent="0.25">
      <c r="A23" s="16"/>
      <c r="B23" s="16" t="s">
        <v>58</v>
      </c>
      <c r="C23" s="16" t="s">
        <v>31</v>
      </c>
      <c r="D23" s="16"/>
      <c r="E23" s="16"/>
      <c r="F23" s="16"/>
      <c r="G23" s="16">
        <v>1</v>
      </c>
      <c r="H23" s="16">
        <v>1</v>
      </c>
      <c r="I23" s="16">
        <v>1</v>
      </c>
      <c r="J23" s="16">
        <v>8</v>
      </c>
      <c r="K23" s="9">
        <f t="shared" si="2"/>
        <v>8</v>
      </c>
      <c r="L23" s="9">
        <f t="shared" si="3"/>
        <v>8</v>
      </c>
      <c r="M23" s="16"/>
      <c r="N23" s="16"/>
    </row>
    <row r="24" spans="1:14" s="3" customFormat="1" ht="15.75" thickBot="1" x14ac:dyDescent="0.3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</row>
    <row r="25" spans="1:14" ht="15.75" thickBot="1" x14ac:dyDescent="0.3">
      <c r="A25" s="34"/>
      <c r="B25" s="50" t="s">
        <v>22</v>
      </c>
      <c r="C25" s="35"/>
      <c r="D25" s="35"/>
      <c r="E25" s="35"/>
      <c r="F25" s="35"/>
      <c r="G25" s="35"/>
      <c r="H25" s="35"/>
      <c r="I25" s="13">
        <f>SUM(I27:I35)</f>
        <v>42.300000000000004</v>
      </c>
      <c r="J25" s="36"/>
      <c r="K25" s="12">
        <f>SUM(K27:K31)</f>
        <v>1.0590999999999999</v>
      </c>
      <c r="L25" s="12">
        <f>SUM(L27:L31)</f>
        <v>1.0590999999999999</v>
      </c>
      <c r="M25" s="35"/>
      <c r="N25" s="37"/>
    </row>
    <row r="26" spans="1:14" ht="15.75" thickBot="1" x14ac:dyDescent="0.3">
      <c r="A26" s="38"/>
      <c r="B26" s="13" t="s">
        <v>2</v>
      </c>
      <c r="C26" s="13" t="s">
        <v>3</v>
      </c>
      <c r="D26" s="13" t="s">
        <v>19</v>
      </c>
      <c r="E26" s="13" t="s">
        <v>16</v>
      </c>
      <c r="F26" s="13" t="s">
        <v>17</v>
      </c>
      <c r="G26" s="13" t="s">
        <v>14</v>
      </c>
      <c r="H26" s="13" t="s">
        <v>27</v>
      </c>
      <c r="I26" s="13" t="s">
        <v>24</v>
      </c>
      <c r="J26" s="13" t="s">
        <v>21</v>
      </c>
      <c r="K26" s="13" t="s">
        <v>15</v>
      </c>
      <c r="L26" s="13" t="s">
        <v>29</v>
      </c>
      <c r="M26" s="13"/>
      <c r="N26" s="13" t="s">
        <v>1</v>
      </c>
    </row>
    <row r="27" spans="1:14" x14ac:dyDescent="0.25">
      <c r="A27" s="24"/>
      <c r="B27" s="24" t="s">
        <v>59</v>
      </c>
      <c r="C27" s="24"/>
      <c r="D27" s="24" t="s">
        <v>20</v>
      </c>
      <c r="E27" s="24"/>
      <c r="F27" s="24" t="s">
        <v>18</v>
      </c>
      <c r="G27" s="24">
        <v>1</v>
      </c>
      <c r="H27" s="24">
        <v>20.2</v>
      </c>
      <c r="I27" s="24">
        <f>G27*H27</f>
        <v>20.2</v>
      </c>
      <c r="J27" s="25">
        <v>25</v>
      </c>
      <c r="K27" s="25">
        <f>IF(G27&gt;0,(J27/1000)*G27*H27,0)</f>
        <v>0.505</v>
      </c>
      <c r="L27" s="25">
        <f>K27</f>
        <v>0.505</v>
      </c>
      <c r="M27" s="24"/>
      <c r="N27" s="24"/>
    </row>
    <row r="28" spans="1:14" x14ac:dyDescent="0.25">
      <c r="A28" s="17"/>
      <c r="B28" s="17" t="s">
        <v>60</v>
      </c>
      <c r="C28" s="17"/>
      <c r="D28" s="24" t="s">
        <v>20</v>
      </c>
      <c r="E28" s="17"/>
      <c r="F28" s="17" t="s">
        <v>18</v>
      </c>
      <c r="G28" s="17">
        <v>1</v>
      </c>
      <c r="H28" s="17">
        <v>11.9</v>
      </c>
      <c r="I28" s="17">
        <f t="shared" ref="I28" si="4">G28*H28</f>
        <v>11.9</v>
      </c>
      <c r="J28" s="25">
        <v>25</v>
      </c>
      <c r="K28" s="14">
        <f t="shared" ref="K28" si="5">IF(G28&gt;0,(J28/1000)*G28*H28,0)</f>
        <v>0.29750000000000004</v>
      </c>
      <c r="L28" s="14">
        <f t="shared" ref="L28" si="6">K28</f>
        <v>0.29750000000000004</v>
      </c>
      <c r="M28" s="17"/>
      <c r="N28" s="17"/>
    </row>
    <row r="29" spans="1:14" x14ac:dyDescent="0.25">
      <c r="A29" s="17"/>
      <c r="B29" s="17" t="s">
        <v>61</v>
      </c>
      <c r="C29" s="17"/>
      <c r="D29" s="24" t="s">
        <v>20</v>
      </c>
      <c r="E29" s="17"/>
      <c r="F29" s="17" t="s">
        <v>18</v>
      </c>
      <c r="G29" s="17">
        <v>1</v>
      </c>
      <c r="H29" s="17">
        <v>8</v>
      </c>
      <c r="I29" s="71">
        <f t="shared" ref="I29:I30" si="7">G29*H29</f>
        <v>8</v>
      </c>
      <c r="J29" s="25">
        <v>25</v>
      </c>
      <c r="K29" s="14">
        <f t="shared" ref="K29:K30" si="8">IF(G29&gt;0,(J29/1000)*G29*H29,0)</f>
        <v>0.2</v>
      </c>
      <c r="L29" s="14">
        <f t="shared" ref="L29:L30" si="9">K29</f>
        <v>0.2</v>
      </c>
      <c r="M29" s="17"/>
      <c r="N29" s="17"/>
    </row>
    <row r="30" spans="1:14" x14ac:dyDescent="0.25">
      <c r="A30" s="17"/>
      <c r="B30" s="17" t="s">
        <v>62</v>
      </c>
      <c r="C30" s="17"/>
      <c r="D30" s="24" t="s">
        <v>20</v>
      </c>
      <c r="E30" s="17"/>
      <c r="F30" s="17" t="s">
        <v>18</v>
      </c>
      <c r="G30" s="17">
        <v>1</v>
      </c>
      <c r="H30" s="17">
        <v>0.6</v>
      </c>
      <c r="I30" s="17">
        <f t="shared" si="7"/>
        <v>0.6</v>
      </c>
      <c r="J30" s="25">
        <v>25</v>
      </c>
      <c r="K30" s="14">
        <f t="shared" si="8"/>
        <v>1.4999999999999999E-2</v>
      </c>
      <c r="L30" s="14">
        <f t="shared" si="9"/>
        <v>1.4999999999999999E-2</v>
      </c>
      <c r="M30" s="17"/>
      <c r="N30" s="17"/>
    </row>
    <row r="31" spans="1:14" ht="15.75" thickBot="1" x14ac:dyDescent="0.3">
      <c r="A31" s="17"/>
      <c r="B31" s="17" t="s">
        <v>110</v>
      </c>
      <c r="C31" s="17"/>
      <c r="D31" s="24" t="s">
        <v>20</v>
      </c>
      <c r="E31" s="17"/>
      <c r="F31" s="17" t="s">
        <v>18</v>
      </c>
      <c r="G31" s="17">
        <v>1</v>
      </c>
      <c r="H31" s="17">
        <v>1.6</v>
      </c>
      <c r="I31" s="17">
        <f t="shared" ref="I31" si="10">G31*H31</f>
        <v>1.6</v>
      </c>
      <c r="J31" s="25">
        <v>26</v>
      </c>
      <c r="K31" s="14">
        <f t="shared" ref="K31" si="11">IF(G31&gt;0,(J31/1000)*G31*H31,0)</f>
        <v>4.1599999999999998E-2</v>
      </c>
      <c r="L31" s="14">
        <f t="shared" ref="L31" si="12">K31</f>
        <v>4.1599999999999998E-2</v>
      </c>
      <c r="M31" s="17"/>
      <c r="N31" s="17"/>
    </row>
    <row r="32" spans="1:14" ht="15.75" thickBot="1" x14ac:dyDescent="0.3">
      <c r="A32" s="30"/>
      <c r="B32" s="49" t="s">
        <v>25</v>
      </c>
      <c r="C32" s="31"/>
      <c r="D32" s="31"/>
      <c r="E32" s="31"/>
      <c r="F32" s="31"/>
      <c r="G32" s="31"/>
      <c r="H32" s="31"/>
      <c r="I32" s="31"/>
      <c r="J32" s="31"/>
      <c r="K32" s="10">
        <f>SUM(K34:K34)</f>
        <v>0</v>
      </c>
      <c r="L32" s="10">
        <f>SUM(L34:L34)</f>
        <v>0</v>
      </c>
      <c r="M32" s="31"/>
      <c r="N32" s="32"/>
    </row>
    <row r="33" spans="1:14" ht="15.75" thickBot="1" x14ac:dyDescent="0.3">
      <c r="A33" s="33"/>
      <c r="B33" s="11" t="s">
        <v>2</v>
      </c>
      <c r="C33" s="11" t="s">
        <v>3</v>
      </c>
      <c r="D33" s="11"/>
      <c r="E33" s="11" t="s">
        <v>9</v>
      </c>
      <c r="F33" s="11" t="s">
        <v>10</v>
      </c>
      <c r="G33" s="11" t="s">
        <v>14</v>
      </c>
      <c r="H33" s="11" t="s">
        <v>11</v>
      </c>
      <c r="I33" s="11" t="s">
        <v>12</v>
      </c>
      <c r="J33" s="11" t="s">
        <v>13</v>
      </c>
      <c r="K33" s="11" t="s">
        <v>15</v>
      </c>
      <c r="L33" s="11" t="s">
        <v>29</v>
      </c>
      <c r="M33" s="11"/>
      <c r="N33" s="11" t="s">
        <v>1</v>
      </c>
    </row>
    <row r="34" spans="1:14" x14ac:dyDescent="0.25">
      <c r="A34" s="22"/>
      <c r="B34" s="22" t="s">
        <v>105</v>
      </c>
      <c r="C34" s="22"/>
      <c r="D34" s="22"/>
      <c r="E34" s="22"/>
      <c r="F34" s="22"/>
      <c r="G34" s="22"/>
      <c r="H34" s="22"/>
      <c r="I34" s="22"/>
      <c r="J34" s="23"/>
      <c r="K34" s="23"/>
      <c r="L34" s="23"/>
      <c r="M34" s="22"/>
      <c r="N34" s="22"/>
    </row>
    <row r="35" spans="1:14" s="67" customFormat="1" ht="15.75" thickBot="1" x14ac:dyDescent="0.3">
      <c r="A35" s="65"/>
      <c r="B35" s="65"/>
      <c r="C35" s="65"/>
      <c r="D35" s="65"/>
      <c r="E35" s="65"/>
      <c r="F35" s="65"/>
      <c r="G35" s="65"/>
      <c r="H35" s="65"/>
      <c r="I35" s="65"/>
      <c r="J35" s="66"/>
      <c r="K35" s="66"/>
      <c r="L35" s="66"/>
      <c r="M35" s="65"/>
      <c r="N35" s="65"/>
    </row>
    <row r="36" spans="1:14" ht="15.75" thickBot="1" x14ac:dyDescent="0.3">
      <c r="A36" s="39"/>
      <c r="B36" s="51" t="s">
        <v>23</v>
      </c>
      <c r="C36" s="40"/>
      <c r="D36" s="40"/>
      <c r="E36" s="40"/>
      <c r="F36" s="40"/>
      <c r="G36" s="40"/>
      <c r="H36" s="40"/>
      <c r="I36" s="40"/>
      <c r="J36" s="41"/>
      <c r="K36" s="40"/>
      <c r="L36" s="40"/>
      <c r="M36" s="40"/>
      <c r="N36" s="42"/>
    </row>
    <row r="37" spans="1:14" ht="15.75" thickBot="1" x14ac:dyDescent="0.3">
      <c r="A37" s="43"/>
      <c r="B37" s="62" t="s">
        <v>32</v>
      </c>
      <c r="C37" s="62" t="s">
        <v>3</v>
      </c>
      <c r="D37" s="27"/>
      <c r="E37" s="62" t="s">
        <v>9</v>
      </c>
      <c r="F37" s="62" t="s">
        <v>10</v>
      </c>
      <c r="G37" s="27"/>
      <c r="H37" s="27"/>
      <c r="I37" s="27"/>
      <c r="J37" s="27"/>
      <c r="K37" s="27"/>
      <c r="L37" s="27"/>
      <c r="M37" s="27"/>
      <c r="N37" s="62" t="s">
        <v>1</v>
      </c>
    </row>
    <row r="38" spans="1:14" x14ac:dyDescent="0.25">
      <c r="A38" s="26"/>
      <c r="B38" s="26" t="s">
        <v>91</v>
      </c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</row>
    <row r="39" spans="1:14" x14ac:dyDescent="0.25">
      <c r="A39" s="18"/>
      <c r="B39" s="18" t="s">
        <v>92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 spans="1:14" x14ac:dyDescent="0.25">
      <c r="A40" s="18"/>
      <c r="B40" s="18" t="s">
        <v>93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 spans="1:14" x14ac:dyDescent="0.25">
      <c r="A41" s="18"/>
      <c r="B41" s="18" t="s">
        <v>94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</row>
    <row r="42" spans="1:14" ht="15.75" thickBot="1" x14ac:dyDescent="0.3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</row>
    <row r="43" spans="1:14" ht="15.75" thickBot="1" x14ac:dyDescent="0.3">
      <c r="A43" s="45"/>
      <c r="B43" s="52" t="s">
        <v>30</v>
      </c>
      <c r="C43" s="46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4"/>
    </row>
    <row r="44" spans="1:14" ht="15.75" thickBot="1" x14ac:dyDescent="0.3">
      <c r="A44" s="47"/>
      <c r="B44" s="15" t="s">
        <v>2</v>
      </c>
      <c r="C44" s="15" t="s">
        <v>3</v>
      </c>
      <c r="D44" s="15"/>
      <c r="E44" s="15" t="s">
        <v>9</v>
      </c>
      <c r="F44" s="15" t="s">
        <v>10</v>
      </c>
      <c r="G44" s="15" t="s">
        <v>14</v>
      </c>
      <c r="H44" s="15" t="s">
        <v>11</v>
      </c>
      <c r="I44" s="15" t="s">
        <v>12</v>
      </c>
      <c r="J44" s="15" t="s">
        <v>13</v>
      </c>
      <c r="K44" s="15" t="s">
        <v>15</v>
      </c>
      <c r="L44" s="15" t="s">
        <v>29</v>
      </c>
      <c r="M44" s="15"/>
      <c r="N44" s="15" t="s">
        <v>1</v>
      </c>
    </row>
    <row r="45" spans="1:14" x14ac:dyDescent="0.25">
      <c r="A45" s="28"/>
      <c r="B45" s="28" t="s">
        <v>78</v>
      </c>
      <c r="C45" s="28" t="s">
        <v>35</v>
      </c>
      <c r="D45" s="28"/>
      <c r="E45" s="28" t="s">
        <v>83</v>
      </c>
      <c r="F45" s="28" t="s">
        <v>64</v>
      </c>
      <c r="G45" s="28">
        <v>8</v>
      </c>
      <c r="H45" s="28">
        <v>100</v>
      </c>
      <c r="I45" s="28">
        <v>1</v>
      </c>
      <c r="J45" s="28">
        <v>12.41</v>
      </c>
      <c r="K45" s="72">
        <f>IF(G45&gt;0,J45/H45*G45,0)</f>
        <v>0.99280000000000002</v>
      </c>
      <c r="L45" s="72">
        <f>I45*J45</f>
        <v>12.41</v>
      </c>
      <c r="M45" s="28"/>
      <c r="N45" s="73" t="s">
        <v>86</v>
      </c>
    </row>
    <row r="46" spans="1:14" x14ac:dyDescent="0.25">
      <c r="A46" s="19"/>
      <c r="B46" s="19" t="s">
        <v>79</v>
      </c>
      <c r="C46" s="19" t="s">
        <v>35</v>
      </c>
      <c r="D46" s="19"/>
      <c r="E46" s="19" t="s">
        <v>64</v>
      </c>
      <c r="F46" s="19" t="s">
        <v>64</v>
      </c>
      <c r="G46" s="19">
        <v>1</v>
      </c>
      <c r="H46" s="19">
        <v>1</v>
      </c>
      <c r="I46" s="19">
        <v>1</v>
      </c>
      <c r="J46" s="19">
        <v>8.99</v>
      </c>
      <c r="K46" s="72">
        <f>IF(G46&gt;0,J46/H46*G46,0)</f>
        <v>8.99</v>
      </c>
      <c r="L46" s="72">
        <f t="shared" ref="L46:L49" si="13">I46*J46</f>
        <v>8.99</v>
      </c>
      <c r="M46" s="19"/>
      <c r="N46" s="74" t="s">
        <v>87</v>
      </c>
    </row>
    <row r="47" spans="1:14" x14ac:dyDescent="0.25">
      <c r="A47" s="19"/>
      <c r="B47" s="19" t="s">
        <v>80</v>
      </c>
      <c r="C47" s="19" t="s">
        <v>35</v>
      </c>
      <c r="D47" s="19"/>
      <c r="E47" s="19" t="s">
        <v>84</v>
      </c>
      <c r="F47" s="19" t="s">
        <v>64</v>
      </c>
      <c r="G47" s="19">
        <v>1</v>
      </c>
      <c r="H47" s="19">
        <v>2</v>
      </c>
      <c r="I47" s="19">
        <v>1</v>
      </c>
      <c r="J47" s="19">
        <v>10.99</v>
      </c>
      <c r="K47" s="72">
        <f>IF(G47&gt;0,J47/H47*G47,0)</f>
        <v>5.4950000000000001</v>
      </c>
      <c r="L47" s="72">
        <f t="shared" si="13"/>
        <v>10.99</v>
      </c>
      <c r="M47" s="19"/>
      <c r="N47" s="74" t="s">
        <v>88</v>
      </c>
    </row>
    <row r="48" spans="1:14" x14ac:dyDescent="0.25">
      <c r="A48" s="19"/>
      <c r="B48" s="19" t="s">
        <v>81</v>
      </c>
      <c r="C48" s="19" t="s">
        <v>35</v>
      </c>
      <c r="D48" s="19"/>
      <c r="E48" s="19" t="s">
        <v>85</v>
      </c>
      <c r="F48" s="19" t="s">
        <v>64</v>
      </c>
      <c r="G48" s="19">
        <v>1</v>
      </c>
      <c r="H48" s="19">
        <v>5</v>
      </c>
      <c r="I48" s="19">
        <v>1</v>
      </c>
      <c r="J48" s="19">
        <v>15.99</v>
      </c>
      <c r="K48" s="72">
        <f>IF(G48&gt;0,J48/H48*G48,0)</f>
        <v>3.198</v>
      </c>
      <c r="L48" s="72">
        <f t="shared" si="13"/>
        <v>15.99</v>
      </c>
      <c r="M48" s="19"/>
      <c r="N48" s="74" t="s">
        <v>89</v>
      </c>
    </row>
    <row r="49" spans="1:14" x14ac:dyDescent="0.25">
      <c r="A49" s="19"/>
      <c r="B49" s="19" t="s">
        <v>96</v>
      </c>
      <c r="C49" s="19" t="s">
        <v>49</v>
      </c>
      <c r="D49" s="19"/>
      <c r="E49" s="19" t="s">
        <v>82</v>
      </c>
      <c r="F49" s="19" t="s">
        <v>66</v>
      </c>
      <c r="G49" s="19">
        <v>1</v>
      </c>
      <c r="H49" s="19">
        <v>1</v>
      </c>
      <c r="I49" s="19">
        <v>1</v>
      </c>
      <c r="J49" s="19">
        <v>0.15</v>
      </c>
      <c r="K49" s="72">
        <f>IF(G49&gt;0,J49/H49*G49,0)</f>
        <v>0.15</v>
      </c>
      <c r="L49" s="72">
        <f t="shared" si="13"/>
        <v>0.15</v>
      </c>
      <c r="M49" s="19"/>
      <c r="N49" s="74" t="s">
        <v>90</v>
      </c>
    </row>
    <row r="50" spans="1:14" x14ac:dyDescent="0.25">
      <c r="A50" s="19"/>
      <c r="B50" s="19" t="s">
        <v>106</v>
      </c>
      <c r="C50" s="19" t="s">
        <v>35</v>
      </c>
      <c r="D50" s="19"/>
      <c r="E50" s="19" t="s">
        <v>107</v>
      </c>
      <c r="F50" s="19" t="s">
        <v>107</v>
      </c>
      <c r="G50" s="19"/>
      <c r="H50" s="19"/>
      <c r="I50" s="19"/>
      <c r="J50" s="19"/>
      <c r="K50" s="19"/>
      <c r="L50" s="19"/>
      <c r="M50" s="19"/>
      <c r="N50" s="74" t="s">
        <v>108</v>
      </c>
    </row>
    <row r="51" spans="1:14" x14ac:dyDescent="0.2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74" t="s">
        <v>109</v>
      </c>
    </row>
    <row r="52" spans="1:14" x14ac:dyDescent="0.25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</row>
    <row r="53" spans="1:14" x14ac:dyDescent="0.25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x14ac:dyDescent="0.25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</row>
    <row r="55" spans="1:14" x14ac:dyDescent="0.2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</row>
  </sheetData>
  <mergeCells count="1">
    <mergeCell ref="B1:J1"/>
  </mergeCells>
  <hyperlinks>
    <hyperlink ref="N8" r:id="rId1" xr:uid="{1135FA4D-B2EA-400D-B2EA-E4DDA3E9E597}"/>
    <hyperlink ref="N9" r:id="rId2" xr:uid="{D9D3D4FB-BF50-4DC3-A700-77140C7ED4BA}"/>
    <hyperlink ref="N10" r:id="rId3" xr:uid="{0D74475B-E17E-45C4-AE63-35A507E9DCED}"/>
    <hyperlink ref="N11" r:id="rId4" xr:uid="{30D73E2E-D870-4AB9-9929-6035FF5936B2}"/>
    <hyperlink ref="N12" r:id="rId5" xr:uid="{C313219D-8863-42D2-A1A3-A4C4205DBCF3}"/>
    <hyperlink ref="N13" r:id="rId6" xr:uid="{69EFCD10-97D9-4C49-BFC4-E4FBC9CC22D6}"/>
    <hyperlink ref="N14" r:id="rId7" xr:uid="{EA27EA15-24F8-40D1-8F5B-03FB37E1A4FB}"/>
    <hyperlink ref="N15" r:id="rId8" xr:uid="{AFADFB32-B522-4BD7-90F3-120711CFB6BC}"/>
    <hyperlink ref="N16" r:id="rId9" xr:uid="{8675ACD1-970F-4730-8995-4224E37DCD3F}"/>
    <hyperlink ref="N17" r:id="rId10" xr:uid="{02506331-6B4B-4E9C-A0CC-00954EA0D8A3}"/>
    <hyperlink ref="N18" r:id="rId11" xr:uid="{44004822-2F3B-4D12-A039-A81F8FB2CFA0}"/>
    <hyperlink ref="N19" r:id="rId12" xr:uid="{79C1DBD9-4099-42DB-A816-0A49D6886B7A}"/>
    <hyperlink ref="N20" r:id="rId13" xr:uid="{AB43C06F-DEE7-4AD5-BAD2-2BF73E6A9F33}"/>
    <hyperlink ref="N21" r:id="rId14" xr:uid="{FC714120-5750-4AE5-B618-F99D2EAA2D35}"/>
    <hyperlink ref="N22" r:id="rId15" xr:uid="{C1321985-363A-4DDF-8590-A5C59EA75D9C}"/>
    <hyperlink ref="N45" r:id="rId16" xr:uid="{4F52972E-58E1-4597-8DF9-72F00059F643}"/>
    <hyperlink ref="N46" r:id="rId17" xr:uid="{AF08DE6B-3B69-4CAE-B697-7739490D0B79}"/>
    <hyperlink ref="N47" r:id="rId18" xr:uid="{8C52618B-D79D-4A18-BCAD-0072D34F468B}"/>
    <hyperlink ref="N48" r:id="rId19" xr:uid="{2D0635C8-4E5E-4D0D-839B-34C7D074FD2F}"/>
    <hyperlink ref="N49" r:id="rId20" xr:uid="{9BFC63C6-0DD3-49EA-B420-D9305BE2CB69}"/>
    <hyperlink ref="N50" r:id="rId21" xr:uid="{0B432C92-DE23-440F-8209-6777938CF837}"/>
    <hyperlink ref="N51" r:id="rId22" xr:uid="{458C17D1-A1B2-4A2A-A4D0-56D93755A047}"/>
  </hyperlinks>
  <pageMargins left="0.7" right="0.7" top="0.75" bottom="0.75" header="0.3" footer="0.3"/>
  <pageSetup orientation="portrait" r:id="rId2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2c39c84-b0a3-45a2-a38c-ff46bb47f11f" xsi:nil="true"/>
    <lcf76f155ced4ddcb4097134ff3c332f xmlns="cf9f6c1f-8ad0-4eb8-bb2b-fb0b622a341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EC7ECFAC78D4E8EF6CBAFFF0B3505" ma:contentTypeVersion="19" ma:contentTypeDescription="Create a new document." ma:contentTypeScope="" ma:versionID="5d9401e09799b0dc5f93c06ba9768007">
  <xsd:schema xmlns:xsd="http://www.w3.org/2001/XMLSchema" xmlns:xs="http://www.w3.org/2001/XMLSchema" xmlns:p="http://schemas.microsoft.com/office/2006/metadata/properties" xmlns:ns2="cf9f6c1f-8ad0-4eb8-bb2b-fb0b622a341e" xmlns:ns3="72c39c84-b0a3-45a2-a38c-ff46bb47f11f" targetNamespace="http://schemas.microsoft.com/office/2006/metadata/properties" ma:root="true" ma:fieldsID="70cec36318042db763ca353140da6103" ns2:_="" ns3:_="">
    <xsd:import namespace="cf9f6c1f-8ad0-4eb8-bb2b-fb0b622a341e"/>
    <xsd:import namespace="72c39c84-b0a3-45a2-a38c-ff46bb47f1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f6c1f-8ad0-4eb8-bb2b-fb0b622a34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6ec1fed-e6ae-4c84-a4ac-123136fd93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c39c84-b0a3-45a2-a38c-ff46bb47f11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30263d0-9f1a-4e63-a49c-f06b563fb00a}" ma:internalName="TaxCatchAll" ma:showField="CatchAllData" ma:web="72c39c84-b0a3-45a2-a38c-ff46bb47f1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40145F-09D2-466B-B9A2-2798696B0A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4958292-C6C4-482B-887A-6CF9FB19AB74}">
  <ds:schemaRefs>
    <ds:schemaRef ds:uri="http://schemas.microsoft.com/office/2006/metadata/properties"/>
    <ds:schemaRef ds:uri="http://schemas.microsoft.com/office/infopath/2007/PartnerControls"/>
    <ds:schemaRef ds:uri="72c39c84-b0a3-45a2-a38c-ff46bb47f11f"/>
    <ds:schemaRef ds:uri="cf9f6c1f-8ad0-4eb8-bb2b-fb0b622a341e"/>
  </ds:schemaRefs>
</ds:datastoreItem>
</file>

<file path=customXml/itemProps3.xml><?xml version="1.0" encoding="utf-8"?>
<ds:datastoreItem xmlns:ds="http://schemas.openxmlformats.org/officeDocument/2006/customXml" ds:itemID="{2F32A296-16AC-4C12-9F01-80EFC72BDC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MMC Co-op</dc:creator>
  <cp:keywords/>
  <dc:description/>
  <cp:lastModifiedBy>Tyler Fentie</cp:lastModifiedBy>
  <cp:revision/>
  <dcterms:created xsi:type="dcterms:W3CDTF">2021-04-20T01:54:08Z</dcterms:created>
  <dcterms:modified xsi:type="dcterms:W3CDTF">2026-02-03T22:57:51Z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0x010100B51EC7ECFAC78D4E8EF6CBAFFF0B3505</vt:lpwstr>
  </property>
  <property fmtid="{D5CDD505-2E9C-101B-9397-08002B2CF9AE}" pid="3" name="MediaServiceImageTags">
    <vt:lpwstr/>
  </property>
</Properties>
</file>